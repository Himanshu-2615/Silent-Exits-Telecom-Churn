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Executive Summary" sheetId="1" state="visible" r:id="rId3"/>
    <sheet name="💰 Retention ROI Calculator" sheetId="2" state="visible" r:id="rId4"/>
    <sheet name="🎯 Customer Risk Tiers" sheetId="3" state="visible" r:id="rId5"/>
    <sheet name="📋 Pivot 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<sst xmlns="http://schemas.openxmlformats.org/spreadsheetml/2006/main" count="158" uniqueCount="117">
  <si>
    <t xml:space="preserve">Silent Exits: Telecom Churn &amp; Retention Study</t>
  </si>
  <si>
    <t xml:space="preserve">Author: Himanshu Kothari  |  Dataset: IBM Watson Telco Churn (Kaggle, 7,043 customers)  |  Tools: Python · SQL · Excel · Power BI</t>
  </si>
  <si>
    <t xml:space="preserve">Total Customers</t>
  </si>
  <si>
    <t xml:space="preserve">Churned Customers</t>
  </si>
  <si>
    <t xml:space="preserve">Churn Rate</t>
  </si>
  <si>
    <t xml:space="preserve">Monthly Revenue Lost</t>
  </si>
  <si>
    <t xml:space="preserve">Avg Tenure (Churned)</t>
  </si>
  <si>
    <t xml:space="preserve">7,043</t>
  </si>
  <si>
    <t xml:space="preserve">1,773</t>
  </si>
  <si>
    <t xml:space="preserve">25.2%</t>
  </si>
  <si>
    <t xml:space="preserve">$125,459</t>
  </si>
  <si>
    <t xml:space="preserve">17.9 mo</t>
  </si>
  <si>
    <t xml:space="preserve">🔴 Churn Rate by Contract Type</t>
  </si>
  <si>
    <t xml:space="preserve">🌐 Churn Rate by Internet Service</t>
  </si>
  <si>
    <t xml:space="preserve">Contract</t>
  </si>
  <si>
    <t xml:space="preserve">Customers</t>
  </si>
  <si>
    <t xml:space="preserve">Service</t>
  </si>
  <si>
    <t xml:space="preserve">Month-to-month</t>
  </si>
  <si>
    <t xml:space="preserve">Fiber optic</t>
  </si>
  <si>
    <t xml:space="preserve">One year</t>
  </si>
  <si>
    <t xml:space="preserve">DSL</t>
  </si>
  <si>
    <t xml:space="preserve">Two year</t>
  </si>
  <si>
    <t xml:space="preserve">No</t>
  </si>
  <si>
    <t xml:space="preserve">📅 Churn by Tenure Cohort — When Are Customers Most Vulnerable?</t>
  </si>
  <si>
    <t xml:space="preserve">Tenure Group</t>
  </si>
  <si>
    <t xml:space="preserve">Churned</t>
  </si>
  <si>
    <t xml:space="preserve">Avg Monthly Bill</t>
  </si>
  <si>
    <t xml:space="preserve">Avg Tenure</t>
  </si>
  <si>
    <t xml:space="preserve">0–12 months (New)</t>
  </si>
  <si>
    <t xml:space="preserve">13–24 months (Growing)</t>
  </si>
  <si>
    <t xml:space="preserve">25–48 months (Mature)</t>
  </si>
  <si>
    <t xml:space="preserve">48+ months (Loyal)</t>
  </si>
  <si>
    <t xml:space="preserve">💡 Business Recommendations</t>
  </si>
  <si>
    <t xml:space="preserve">  1. Target month-to-month fiber customers in year 1 with a discounted annual contract upgrade at the 6-month mark.</t>
  </si>
  <si>
    <t xml:space="preserve">  2. Investigate fiber optic value gap — 33.7% churn on a premium product signals price dissatisfaction or reliability issues.</t>
  </si>
  <si>
    <t xml:space="preserve">  3. Incentivize auto-pay with a small bill discount — electronic check users churn significantly more than auto-pay customers.</t>
  </si>
  <si>
    <t xml:space="preserve">  4. Bundle OnlineSecurity + TechSupport free for 3 months for new users — data shows these reduce churn meaningfully.</t>
  </si>
  <si>
    <t xml:space="preserve">Retention ROI Calculator — Silent Exits Study</t>
  </si>
  <si>
    <t xml:space="preserve">  ⚡ Blue cells are inputs — change them to model different scenarios</t>
  </si>
  <si>
    <t xml:space="preserve">📥 INPUT ASSUMPTIONS  (editable — blue cells)</t>
  </si>
  <si>
    <t xml:space="preserve">  Total churned customers (annual)</t>
  </si>
  <si>
    <t xml:space="preserve">  Avg monthly revenue per churned customer ($)</t>
  </si>
  <si>
    <t xml:space="preserve">  Target: % of churned customers we can retain</t>
  </si>
  <si>
    <t xml:space="preserve">  Retention offer cost per customer ($/month)</t>
  </si>
  <si>
    <t xml:space="preserve">  Offer duration (months)</t>
  </si>
  <si>
    <t xml:space="preserve">  CAC — cost to acquire a new customer ($)</t>
  </si>
  <si>
    <t xml:space="preserve">📤 OUTPUT — RETENTION IMPACT</t>
  </si>
  <si>
    <t xml:space="preserve">  Customers retained by campaign</t>
  </si>
  <si>
    <t xml:space="preserve">  Revenue saved per month ($)</t>
  </si>
  <si>
    <t xml:space="preserve">  Revenue saved annually ($)</t>
  </si>
  <si>
    <t xml:space="preserve">  Cost of retention offers ($)</t>
  </si>
  <si>
    <t xml:space="preserve">  Equivalent new customers needed to replace</t>
  </si>
  <si>
    <t xml:space="preserve">  Cost to replace via acquisition ($)</t>
  </si>
  <si>
    <t xml:space="preserve">  Net ROI of retention campaign ($)</t>
  </si>
  <si>
    <t xml:space="preserve">  ROI Multiple (revenue saved / offer cost)</t>
  </si>
  <si>
    <t xml:space="preserve">📊 SCENARIO COMPARISON</t>
  </si>
  <si>
    <t xml:space="preserve">Scenario</t>
  </si>
  <si>
    <t xml:space="preserve">Retention %</t>
  </si>
  <si>
    <t xml:space="preserve">Customers Saved</t>
  </si>
  <si>
    <t xml:space="preserve">Annual Revenue Saved</t>
  </si>
  <si>
    <t xml:space="preserve">Net ROI ($)</t>
  </si>
  <si>
    <t xml:space="preserve">Conservative</t>
  </si>
  <si>
    <t xml:space="preserve">Moderate</t>
  </si>
  <si>
    <t xml:space="preserve">Aggressive</t>
  </si>
  <si>
    <t xml:space="preserve">  ★ Moderate scenario (20% retention) is recommended baseline. Retention ROI consistently outperforms acquisition cost by 3–5x.</t>
  </si>
  <si>
    <t xml:space="preserve">Customer Risk Tier Framework — Retention Playbook</t>
  </si>
  <si>
    <t xml:space="preserve">  Segment current active customers by churn risk → assign targeted retention intervention</t>
  </si>
  <si>
    <t xml:space="preserve">Risk Tier</t>
  </si>
  <si>
    <t xml:space="preserve">Internet</t>
  </si>
  <si>
    <t xml:space="preserve">Tenure</t>
  </si>
  <si>
    <t xml:space="preserve">Monthly Bill</t>
  </si>
  <si>
    <t xml:space="preserve">Recommended Action</t>
  </si>
  <si>
    <t xml:space="preserve">Business Rationale</t>
  </si>
  <si>
    <t xml:space="preserve">🔴 HIGH RISK</t>
  </si>
  <si>
    <t xml:space="preserve">&lt; 12 months</t>
  </si>
  <si>
    <t xml:space="preserve">&gt; $70</t>
  </si>
  <si>
    <t xml:space="preserve">Priority outreach — offer 15% discount on 1-yr contract</t>
  </si>
  <si>
    <t xml:space="preserve">This segment has 45%+ churn probability. Every retained customer saves ~$850/yr in CAC.</t>
  </si>
  <si>
    <t xml:space="preserve">12–24 months</t>
  </si>
  <si>
    <t xml:space="preserve">Proactive check-in + bundle OnlineSecurity free for 6mo</t>
  </si>
  <si>
    <t xml:space="preserve">Still vulnerable — approaching the 2yr loyalty inflection point. Push them over the line.</t>
  </si>
  <si>
    <t xml:space="preserve">🟠 MEDIUM RISK</t>
  </si>
  <si>
    <t xml:space="preserve">&lt; 24 months</t>
  </si>
  <si>
    <t xml:space="preserve">$40–70</t>
  </si>
  <si>
    <t xml:space="preserve">Email campaign: upgrade to annual plan with loyalty reward</t>
  </si>
  <si>
    <t xml:space="preserve">Lower urgency but high volume. Small nudges move conversion at scale.</t>
  </si>
  <si>
    <t xml:space="preserve">&gt; 24 months</t>
  </si>
  <si>
    <t xml:space="preserve">Any</t>
  </si>
  <si>
    <t xml:space="preserve">Loyalty recognition + early renewal discount offer</t>
  </si>
  <si>
    <t xml:space="preserve">Tenure is protective but month-to-month keeps them perpetually at risk.</t>
  </si>
  <si>
    <t xml:space="preserve">🟡 LOW RISK</t>
  </si>
  <si>
    <t xml:space="preserve">Auto-renewal reminder 60 days before expiry</t>
  </si>
  <si>
    <t xml:space="preserve">Mostly stable. Risk spikes at renewal window — catch them early.</t>
  </si>
  <si>
    <t xml:space="preserve">🟢 LOYAL</t>
  </si>
  <si>
    <t xml:space="preserve">&gt; 36 months</t>
  </si>
  <si>
    <t xml:space="preserve">Referral program enrollment + upsell premium add-ons</t>
  </si>
  <si>
    <t xml:space="preserve">Lowest churn risk. Monetize loyalty via upsell and referrals.</t>
  </si>
  <si>
    <t xml:space="preserve">&lt; 6 months</t>
  </si>
  <si>
    <t xml:space="preserve">Onboarding success call at day 30 + day 90 check-in</t>
  </si>
  <si>
    <t xml:space="preserve">First 90 days are highest dropout risk — proactive engagement is critical.</t>
  </si>
  <si>
    <t xml:space="preserve">📌 HOW TO USE THIS FRAMEWORK</t>
  </si>
  <si>
    <t xml:space="preserve">  ① Pull active (non-churned) customer list from CRM and tag each customer with the matching risk tier above.</t>
  </si>
  <si>
    <t xml:space="preserve">  ② Feed HIGH RISK customers into a 2-week outreach sprint — phone + email. Estimated conversion: 15–20% of reached customers.</t>
  </si>
  <si>
    <t xml:space="preserve">  ③ MEDIUM RISK customers go into a monthly automated email sequence. Lower cost, lower urgency.</t>
  </si>
  <si>
    <t xml:space="preserve">  ④ Track tier migration monthly — a customer moving from LOW to MEDIUM signals an early warning worth acting on.</t>
  </si>
  <si>
    <t xml:space="preserve">Supplementary Pivot Tables</t>
  </si>
  <si>
    <t xml:space="preserve">Payment Method Analysis</t>
  </si>
  <si>
    <t xml:space="preserve">Payment Method</t>
  </si>
  <si>
    <t xml:space="preserve">Avg Bill</t>
  </si>
  <si>
    <t xml:space="preserve">Electronic check</t>
  </si>
  <si>
    <t xml:space="preserve">Mailed check</t>
  </si>
  <si>
    <t xml:space="preserve">Bank transfer (automatic)</t>
  </si>
  <si>
    <t xml:space="preserve">Credit card (automatic)</t>
  </si>
  <si>
    <t xml:space="preserve">Add-On Services vs Churn</t>
  </si>
  <si>
    <t xml:space="preserve">Online Security</t>
  </si>
  <si>
    <t xml:space="preserve">Tech Support</t>
  </si>
  <si>
    <t xml:space="preserve">Yes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</si>
</sst>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\$#,##0.00"/>
    <numFmt numFmtId="168" formatCode="0.0"/>
    <numFmt numFmtId="169" formatCode="0%"/>
    <numFmt numFmtId="170" formatCode="0.0\x"/>
    <numFmt numFmtId="171" formatCode="\$#,##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A56DB"/>
      <name val="Arial"/>
      <family val="0"/>
      <charset val="1"/>
    </font>
    <font>
      <b val="true"/>
      <sz val="14"/>
      <color rgb="FFDC262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64E3B"/>
      <name val="Arial"/>
      <family val="0"/>
      <charset val="1"/>
    </font>
    <font>
      <sz val="10"/>
      <color rgb="FF065F46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1E40AF"/>
      <name val="Arial"/>
      <family val="0"/>
      <charset val="1"/>
    </font>
    <font>
      <b val="true"/>
      <sz val="11"/>
      <color rgb="FF1E40AF"/>
      <name val="Arial"/>
      <family val="0"/>
      <charset val="1"/>
    </font>
    <font>
      <b val="true"/>
      <sz val="11"/>
      <color rgb="FF065F46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i val="true"/>
      <sz val="9"/>
      <color rgb="FF065F46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9"/>
      <color rgb="FFDC2626"/>
      <name val="Arial"/>
      <family val="0"/>
      <charset val="1"/>
    </font>
    <font>
      <sz val="9"/>
      <color rgb="FF111827"/>
      <name val="Arial"/>
      <family val="0"/>
      <charset val="1"/>
    </font>
    <font>
      <b val="true"/>
      <sz val="9"/>
      <color rgb="FF111827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9"/>
      <color rgb="FF713F12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F172A"/>
        <bgColor rgb="FF111827"/>
      </patternFill>
    </fill>
    <fill>
      <patternFill patternType="solid">
        <fgColor rgb="FFF8FAFC"/>
        <bgColor rgb="FFFFFFFF"/>
      </patternFill>
    </fill>
    <fill>
      <patternFill patternType="solid">
        <fgColor rgb="FF1E3A5F"/>
        <bgColor rgb="FF374151"/>
      </patternFill>
    </fill>
    <fill>
      <patternFill patternType="solid">
        <fgColor rgb="FFDBEAFE"/>
        <bgColor rgb="FFEFF6FF"/>
      </patternFill>
    </fill>
    <fill>
      <patternFill patternType="solid">
        <fgColor rgb="FFFEE2E2"/>
        <bgColor rgb="FFFEF3C7"/>
      </patternFill>
    </fill>
    <fill>
      <patternFill patternType="solid">
        <fgColor rgb="FF374151"/>
        <bgColor rgb="FF1E3A5F"/>
      </patternFill>
    </fill>
    <fill>
      <patternFill patternType="solid">
        <fgColor rgb="FFF3F4F6"/>
        <bgColor rgb="FFEFF6FF"/>
      </patternFill>
    </fill>
    <fill>
      <patternFill patternType="solid">
        <fgColor rgb="FF065F46"/>
        <bgColor rgb="FF064E3B"/>
      </patternFill>
    </fill>
    <fill>
      <patternFill patternType="solid">
        <fgColor rgb="FFECFDF5"/>
        <bgColor rgb="FFF0FDF4"/>
      </patternFill>
    </fill>
    <fill>
      <patternFill patternType="solid">
        <fgColor rgb="FFD1FAE5"/>
        <bgColor rgb="FFDBEAFE"/>
      </patternFill>
    </fill>
    <fill>
      <patternFill patternType="solid">
        <fgColor rgb="FFEFF6FF"/>
        <bgColor rgb="FFF3F4F6"/>
      </patternFill>
    </fill>
    <fill>
      <patternFill patternType="solid">
        <fgColor rgb="FFF0FDF4"/>
        <bgColor rgb="FFECFDF5"/>
      </patternFill>
    </fill>
    <fill>
      <patternFill patternType="solid">
        <fgColor rgb="FFFEF3C7"/>
        <bgColor rgb="FFFEF9C3"/>
      </patternFill>
    </fill>
    <fill>
      <patternFill patternType="solid">
        <fgColor rgb="FFFEF9C3"/>
        <bgColor rgb="FFFEF3C7"/>
      </patternFill>
    </fill>
    <fill>
      <patternFill patternType="solid">
        <fgColor rgb="FFFFFFFF"/>
        <bgColor rgb="FFF8FAF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9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5" fillId="1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1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1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6" fillId="1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1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1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7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64E3B"/>
      <rgbColor rgb="FF000080"/>
      <rgbColor rgb="FF808000"/>
      <rgbColor rgb="FF800080"/>
      <rgbColor rgb="FF065F46"/>
      <rgbColor rgb="FFF3F4F6"/>
      <rgbColor rgb="FF808080"/>
      <rgbColor rgb="FF9999FF"/>
      <rgbColor rgb="FF713F12"/>
      <rgbColor rgb="FFFEF9C3"/>
      <rgbColor rgb="FFECFDF5"/>
      <rgbColor rgb="FF660066"/>
      <rgbColor rgb="FFFF8080"/>
      <rgbColor rgb="FF1A56DB"/>
      <rgbColor rgb="FFEFF6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EF3C7"/>
      <rgbColor rgb="FFF0FDF4"/>
      <rgbColor rgb="FFF8FAF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E3A5F"/>
      <rgbColor rgb="FF339966"/>
      <rgbColor rgb="FF111827"/>
      <rgbColor rgb="FF0F172A"/>
      <rgbColor rgb="FF92400E"/>
      <rgbColor rgb="FF993366"/>
      <rgbColor rgb="FF1E40AF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20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31.5" hidden="false" customHeight="true" outlineLevel="0" collapsed="false">
      <c r="A5" s="4" t="s">
        <v>7</v>
      </c>
      <c r="B5" s="5" t="s">
        <v>8</v>
      </c>
      <c r="C5" s="5" t="s">
        <v>9</v>
      </c>
      <c r="D5" s="5" t="s">
        <v>10</v>
      </c>
      <c r="E5" s="4" t="s">
        <v>11</v>
      </c>
    </row>
    <row r="7" customFormat="false" ht="21.75" hidden="false" customHeight="true" outlineLevel="0" collapsed="false">
      <c r="A7" s="6" t="s">
        <v>12</v>
      </c>
      <c r="B7" s="6"/>
      <c r="C7" s="6"/>
      <c r="D7" s="6" t="s">
        <v>13</v>
      </c>
      <c r="E7" s="6"/>
      <c r="F7" s="6"/>
    </row>
    <row r="8" customFormat="false" ht="15" hidden="false" customHeight="false" outlineLevel="0" collapsed="false">
      <c r="A8" s="7" t="s">
        <v>14</v>
      </c>
      <c r="B8" s="7" t="s">
        <v>15</v>
      </c>
      <c r="C8" s="7" t="s">
        <v>4</v>
      </c>
      <c r="D8" s="7" t="s">
        <v>16</v>
      </c>
      <c r="E8" s="7" t="s">
        <v>15</v>
      </c>
      <c r="F8" s="7" t="s">
        <v>4</v>
      </c>
    </row>
    <row r="9" customFormat="false" ht="15" hidden="false" customHeight="false" outlineLevel="0" collapsed="false">
      <c r="A9" s="8" t="s">
        <v>17</v>
      </c>
      <c r="B9" s="9" t="n">
        <v>3868</v>
      </c>
      <c r="C9" s="10" t="n">
        <v>0.375387797311272</v>
      </c>
      <c r="D9" s="8" t="s">
        <v>18</v>
      </c>
      <c r="E9" s="9" t="n">
        <v>3203</v>
      </c>
      <c r="F9" s="10" t="n">
        <v>0.336871682797377</v>
      </c>
    </row>
    <row r="10" customFormat="false" ht="15" hidden="false" customHeight="false" outlineLevel="0" collapsed="false">
      <c r="A10" s="11" t="s">
        <v>19</v>
      </c>
      <c r="B10" s="12" t="n">
        <v>1679</v>
      </c>
      <c r="C10" s="13" t="n">
        <v>0.141751042287076</v>
      </c>
      <c r="D10" s="11" t="s">
        <v>20</v>
      </c>
      <c r="E10" s="12" t="n">
        <v>2264</v>
      </c>
      <c r="F10" s="13" t="n">
        <v>0.185070671378092</v>
      </c>
    </row>
    <row r="11" customFormat="false" ht="15" hidden="false" customHeight="false" outlineLevel="0" collapsed="false">
      <c r="A11" s="11" t="s">
        <v>21</v>
      </c>
      <c r="B11" s="12" t="n">
        <v>1496</v>
      </c>
      <c r="C11" s="13" t="n">
        <v>0.0554812834224599</v>
      </c>
      <c r="D11" s="11" t="s">
        <v>22</v>
      </c>
      <c r="E11" s="12" t="n">
        <v>1576</v>
      </c>
      <c r="F11" s="13" t="n">
        <v>0.174492385786802</v>
      </c>
    </row>
    <row r="13" customFormat="false" ht="21.75" hidden="false" customHeight="true" outlineLevel="0" collapsed="false">
      <c r="A13" s="6" t="s">
        <v>23</v>
      </c>
      <c r="B13" s="6"/>
      <c r="C13" s="6"/>
      <c r="D13" s="6"/>
      <c r="E13" s="6"/>
      <c r="F13" s="6"/>
    </row>
    <row r="14" customFormat="false" ht="15" hidden="false" customHeight="false" outlineLevel="0" collapsed="false">
      <c r="A14" s="7" t="s">
        <v>24</v>
      </c>
      <c r="B14" s="7" t="s">
        <v>15</v>
      </c>
      <c r="C14" s="7" t="s">
        <v>25</v>
      </c>
      <c r="D14" s="7" t="s">
        <v>4</v>
      </c>
      <c r="E14" s="7" t="s">
        <v>26</v>
      </c>
      <c r="F14" s="7" t="s">
        <v>27</v>
      </c>
    </row>
    <row r="15" customFormat="false" ht="15" hidden="false" customHeight="false" outlineLevel="0" collapsed="false">
      <c r="A15" s="8" t="s">
        <v>28</v>
      </c>
      <c r="B15" s="9" t="n">
        <v>1208</v>
      </c>
      <c r="C15" s="9" t="n">
        <v>424</v>
      </c>
      <c r="D15" s="10" t="n">
        <v>0.350993377483444</v>
      </c>
      <c r="E15" s="14" t="n">
        <v>67.8189900662252</v>
      </c>
      <c r="F15" s="15" t="n">
        <v>5.73509933774835</v>
      </c>
    </row>
    <row r="16" customFormat="false" ht="15" hidden="false" customHeight="false" outlineLevel="0" collapsed="false">
      <c r="A16" s="11" t="s">
        <v>29</v>
      </c>
      <c r="B16" s="12" t="n">
        <v>1142</v>
      </c>
      <c r="C16" s="12" t="n">
        <v>286</v>
      </c>
      <c r="D16" s="13" t="n">
        <v>0.250437828371279</v>
      </c>
      <c r="E16" s="16" t="n">
        <v>67.4969089316988</v>
      </c>
      <c r="F16" s="17" t="n">
        <v>18.6453590192645</v>
      </c>
    </row>
    <row r="17" customFormat="false" ht="15" hidden="false" customHeight="false" outlineLevel="0" collapsed="false">
      <c r="A17" s="11" t="s">
        <v>30</v>
      </c>
      <c r="B17" s="12" t="n">
        <v>2421</v>
      </c>
      <c r="C17" s="12" t="n">
        <v>563</v>
      </c>
      <c r="D17" s="13" t="n">
        <v>0.232548533663775</v>
      </c>
      <c r="E17" s="16" t="n">
        <v>67.7851094589013</v>
      </c>
      <c r="F17" s="17" t="n">
        <v>36.393638992152</v>
      </c>
    </row>
    <row r="18" customFormat="false" ht="15" hidden="false" customHeight="false" outlineLevel="0" collapsed="false">
      <c r="A18" s="11" t="s">
        <v>31</v>
      </c>
      <c r="B18" s="12" t="n">
        <v>2272</v>
      </c>
      <c r="C18" s="12" t="n">
        <v>500</v>
      </c>
      <c r="D18" s="13" t="n">
        <v>0.220070422535211</v>
      </c>
      <c r="E18" s="16" t="n">
        <v>68.3511179577465</v>
      </c>
      <c r="F18" s="17" t="n">
        <v>60.0132042253521</v>
      </c>
    </row>
    <row r="20" customFormat="false" ht="21.75" hidden="false" customHeight="true" outlineLevel="0" collapsed="false">
      <c r="A20" s="18" t="s">
        <v>32</v>
      </c>
      <c r="B20" s="18"/>
      <c r="C20" s="18"/>
      <c r="D20" s="18"/>
      <c r="E20" s="18"/>
      <c r="F20" s="18"/>
    </row>
    <row r="21" customFormat="false" ht="27.75" hidden="false" customHeight="true" outlineLevel="0" collapsed="false">
      <c r="A21" s="19" t="s">
        <v>33</v>
      </c>
      <c r="B21" s="19"/>
      <c r="C21" s="19"/>
      <c r="D21" s="19"/>
      <c r="E21" s="19"/>
      <c r="F21" s="19"/>
    </row>
    <row r="22" customFormat="false" ht="27.75" hidden="false" customHeight="true" outlineLevel="0" collapsed="false">
      <c r="A22" s="20" t="s">
        <v>34</v>
      </c>
      <c r="B22" s="20"/>
      <c r="C22" s="20"/>
      <c r="D22" s="20"/>
      <c r="E22" s="20"/>
      <c r="F22" s="20"/>
    </row>
    <row r="23" customFormat="false" ht="27.75" hidden="false" customHeight="true" outlineLevel="0" collapsed="false">
      <c r="A23" s="19" t="s">
        <v>35</v>
      </c>
      <c r="B23" s="19"/>
      <c r="C23" s="19"/>
      <c r="D23" s="19"/>
      <c r="E23" s="19"/>
      <c r="F23" s="19"/>
    </row>
    <row r="24" customFormat="false" ht="27.75" hidden="false" customHeight="true" outlineLevel="0" collapsed="false">
      <c r="A24" s="20" t="s">
        <v>36</v>
      </c>
      <c r="B24" s="20"/>
      <c r="C24" s="20"/>
      <c r="D24" s="20"/>
      <c r="E24" s="20"/>
      <c r="F24" s="20"/>
    </row>
  </sheetData>
  <mergeCells count="10">
    <mergeCell ref="A1:F1"/>
    <mergeCell ref="A2:F2"/>
    <mergeCell ref="A7:C7"/>
    <mergeCell ref="D7:F7"/>
    <mergeCell ref="A13:F13"/>
    <mergeCell ref="A20:F20"/>
    <mergeCell ref="A21:F21"/>
    <mergeCell ref="A22:F22"/>
    <mergeCell ref="A23:F23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5" min="2" style="0" width="22"/>
  </cols>
  <sheetData>
    <row r="1" customFormat="false" ht="39.75" hidden="false" customHeight="true" outlineLevel="0" collapsed="false">
      <c r="A1" s="21" t="s">
        <v>37</v>
      </c>
      <c r="B1" s="21"/>
      <c r="C1" s="21"/>
      <c r="D1" s="21"/>
      <c r="E1" s="21"/>
    </row>
    <row r="2" customFormat="false" ht="18" hidden="false" customHeight="true" outlineLevel="0" collapsed="false">
      <c r="A2" s="22" t="s">
        <v>38</v>
      </c>
      <c r="B2" s="22"/>
      <c r="C2" s="22"/>
      <c r="D2" s="22"/>
      <c r="E2" s="22"/>
    </row>
    <row r="4" customFormat="false" ht="21.75" hidden="false" customHeight="true" outlineLevel="0" collapsed="false">
      <c r="A4" s="6" t="s">
        <v>39</v>
      </c>
      <c r="B4" s="6"/>
      <c r="C4" s="6"/>
      <c r="D4" s="6"/>
      <c r="E4" s="6"/>
    </row>
    <row r="5" customFormat="false" ht="24" hidden="false" customHeight="true" outlineLevel="0" collapsed="false">
      <c r="A5" s="11" t="s">
        <v>40</v>
      </c>
      <c r="B5" s="23" t="n">
        <v>1773</v>
      </c>
    </row>
    <row r="6" customFormat="false" ht="24" hidden="false" customHeight="true" outlineLevel="0" collapsed="false">
      <c r="A6" s="11" t="s">
        <v>41</v>
      </c>
      <c r="B6" s="24" t="n">
        <v>70.75</v>
      </c>
    </row>
    <row r="7" customFormat="false" ht="24" hidden="false" customHeight="true" outlineLevel="0" collapsed="false">
      <c r="A7" s="11" t="s">
        <v>42</v>
      </c>
      <c r="B7" s="25" t="n">
        <v>15</v>
      </c>
    </row>
    <row r="8" customFormat="false" ht="24" hidden="false" customHeight="true" outlineLevel="0" collapsed="false">
      <c r="A8" s="11" t="s">
        <v>43</v>
      </c>
      <c r="B8" s="24" t="n">
        <v>-15</v>
      </c>
    </row>
    <row r="9" customFormat="false" ht="24" hidden="false" customHeight="true" outlineLevel="0" collapsed="false">
      <c r="A9" s="11" t="s">
        <v>44</v>
      </c>
      <c r="B9" s="23" t="n">
        <v>3</v>
      </c>
    </row>
    <row r="10" customFormat="false" ht="24" hidden="false" customHeight="true" outlineLevel="0" collapsed="false">
      <c r="A10" s="11" t="s">
        <v>45</v>
      </c>
      <c r="B10" s="24" t="n">
        <v>350</v>
      </c>
    </row>
    <row r="12" customFormat="false" ht="21.75" hidden="false" customHeight="true" outlineLevel="0" collapsed="false">
      <c r="A12" s="18" t="s">
        <v>46</v>
      </c>
      <c r="B12" s="18"/>
      <c r="C12" s="18"/>
      <c r="D12" s="18"/>
      <c r="E12" s="18"/>
    </row>
    <row r="13" customFormat="false" ht="24" hidden="false" customHeight="true" outlineLevel="0" collapsed="false">
      <c r="A13" s="11" t="s">
        <v>47</v>
      </c>
      <c r="B13" s="26" t="n">
        <f aca="false">B5*B7</f>
        <v>26595</v>
      </c>
    </row>
    <row r="14" customFormat="false" ht="24" hidden="false" customHeight="true" outlineLevel="0" collapsed="false">
      <c r="A14" s="11" t="s">
        <v>48</v>
      </c>
      <c r="B14" s="27" t="n">
        <f aca="false">B13*B6</f>
        <v>1881596.25</v>
      </c>
    </row>
    <row r="15" customFormat="false" ht="24" hidden="false" customHeight="true" outlineLevel="0" collapsed="false">
      <c r="A15" s="28" t="s">
        <v>49</v>
      </c>
      <c r="B15" s="29" t="n">
        <f aca="false">B14*12</f>
        <v>22579155</v>
      </c>
    </row>
    <row r="16" customFormat="false" ht="24" hidden="false" customHeight="true" outlineLevel="0" collapsed="false">
      <c r="A16" s="11" t="s">
        <v>50</v>
      </c>
      <c r="B16" s="27" t="n">
        <f aca="false">B13*ABS(B8)*B9</f>
        <v>1196775</v>
      </c>
    </row>
    <row r="17" customFormat="false" ht="24" hidden="false" customHeight="true" outlineLevel="0" collapsed="false">
      <c r="A17" s="11" t="s">
        <v>51</v>
      </c>
      <c r="B17" s="26" t="n">
        <f aca="false">ROUND(B5/1,0)</f>
        <v>1773</v>
      </c>
    </row>
    <row r="18" customFormat="false" ht="24" hidden="false" customHeight="true" outlineLevel="0" collapsed="false">
      <c r="A18" s="11" t="s">
        <v>52</v>
      </c>
      <c r="B18" s="27" t="n">
        <f aca="false">B5*B10</f>
        <v>620550</v>
      </c>
    </row>
    <row r="19" customFormat="false" ht="24" hidden="false" customHeight="true" outlineLevel="0" collapsed="false">
      <c r="A19" s="11" t="s">
        <v>53</v>
      </c>
      <c r="B19" s="27" t="n">
        <f aca="false">B15-B16</f>
        <v>21382380</v>
      </c>
    </row>
    <row r="20" customFormat="false" ht="24" hidden="false" customHeight="true" outlineLevel="0" collapsed="false">
      <c r="A20" s="28" t="s">
        <v>54</v>
      </c>
      <c r="B20" s="30" t="n">
        <f aca="false">IF(B16&gt;0,B15/B16,0)</f>
        <v>18.8666666666667</v>
      </c>
    </row>
    <row r="22" customFormat="false" ht="21.75" hidden="false" customHeight="true" outlineLevel="0" collapsed="false">
      <c r="A22" s="6" t="s">
        <v>55</v>
      </c>
      <c r="B22" s="6"/>
      <c r="C22" s="6"/>
      <c r="D22" s="6"/>
      <c r="E22" s="6"/>
    </row>
    <row r="23" customFormat="false" ht="15" hidden="false" customHeight="false" outlineLevel="0" collapsed="false">
      <c r="A23" s="7" t="s">
        <v>56</v>
      </c>
      <c r="B23" s="7" t="s">
        <v>57</v>
      </c>
      <c r="C23" s="7" t="s">
        <v>58</v>
      </c>
      <c r="D23" s="7" t="s">
        <v>59</v>
      </c>
      <c r="E23" s="7" t="s">
        <v>60</v>
      </c>
    </row>
    <row r="24" customFormat="false" ht="24" hidden="false" customHeight="true" outlineLevel="0" collapsed="false">
      <c r="A24" s="11" t="s">
        <v>61</v>
      </c>
      <c r="B24" s="31" t="n">
        <v>0.1</v>
      </c>
      <c r="C24" s="12" t="n">
        <v>177</v>
      </c>
      <c r="D24" s="32" t="n">
        <v>150273</v>
      </c>
      <c r="E24" s="33" t="n">
        <v>142308</v>
      </c>
    </row>
    <row r="25" customFormat="false" ht="24" hidden="false" customHeight="true" outlineLevel="0" collapsed="false">
      <c r="A25" s="34" t="s">
        <v>62</v>
      </c>
      <c r="B25" s="35" t="n">
        <v>0.2</v>
      </c>
      <c r="C25" s="36" t="n">
        <v>355</v>
      </c>
      <c r="D25" s="37" t="n">
        <v>301395</v>
      </c>
      <c r="E25" s="38" t="n">
        <v>285420</v>
      </c>
    </row>
    <row r="26" customFormat="false" ht="24" hidden="false" customHeight="true" outlineLevel="0" collapsed="false">
      <c r="A26" s="11" t="s">
        <v>63</v>
      </c>
      <c r="B26" s="31" t="n">
        <v>0.35</v>
      </c>
      <c r="C26" s="12" t="n">
        <v>621</v>
      </c>
      <c r="D26" s="32" t="n">
        <v>527229</v>
      </c>
      <c r="E26" s="33" t="n">
        <v>499284</v>
      </c>
    </row>
    <row r="28" customFormat="false" ht="21.75" hidden="false" customHeight="true" outlineLevel="0" collapsed="false">
      <c r="A28" s="39" t="s">
        <v>64</v>
      </c>
      <c r="B28" s="39"/>
      <c r="C28" s="39"/>
      <c r="D28" s="39"/>
      <c r="E28" s="39"/>
    </row>
  </sheetData>
  <mergeCells count="6">
    <mergeCell ref="A1:E1"/>
    <mergeCell ref="A2:E2"/>
    <mergeCell ref="A4:E4"/>
    <mergeCell ref="A12:E12"/>
    <mergeCell ref="A22:E22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20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35"/>
  </cols>
  <sheetData>
    <row r="1" customFormat="false" ht="39.75" hidden="false" customHeight="true" outlineLevel="0" collapsed="false">
      <c r="A1" s="21" t="s">
        <v>65</v>
      </c>
      <c r="B1" s="21"/>
      <c r="C1" s="21"/>
      <c r="D1" s="21"/>
      <c r="E1" s="21"/>
      <c r="F1" s="21"/>
      <c r="G1" s="21"/>
    </row>
    <row r="2" customFormat="false" ht="18" hidden="false" customHeight="true" outlineLevel="0" collapsed="false">
      <c r="A2" s="40" t="s">
        <v>66</v>
      </c>
      <c r="B2" s="40"/>
      <c r="C2" s="40"/>
      <c r="D2" s="40"/>
      <c r="E2" s="40"/>
      <c r="F2" s="40"/>
      <c r="G2" s="40"/>
    </row>
    <row r="4" customFormat="false" ht="24" hidden="false" customHeight="true" outlineLevel="0" collapsed="false">
      <c r="A4" s="41" t="s">
        <v>67</v>
      </c>
      <c r="B4" s="41" t="s">
        <v>14</v>
      </c>
      <c r="C4" s="41" t="s">
        <v>68</v>
      </c>
      <c r="D4" s="41" t="s">
        <v>69</v>
      </c>
      <c r="E4" s="41" t="s">
        <v>70</v>
      </c>
      <c r="F4" s="41" t="s">
        <v>71</v>
      </c>
      <c r="G4" s="41" t="s">
        <v>72</v>
      </c>
    </row>
    <row r="5" customFormat="false" ht="37.5" hidden="false" customHeight="true" outlineLevel="0" collapsed="false">
      <c r="A5" s="42" t="s">
        <v>73</v>
      </c>
      <c r="B5" s="43" t="s">
        <v>17</v>
      </c>
      <c r="C5" s="43" t="s">
        <v>18</v>
      </c>
      <c r="D5" s="43" t="s">
        <v>74</v>
      </c>
      <c r="E5" s="44" t="s">
        <v>75</v>
      </c>
      <c r="F5" s="45" t="s">
        <v>76</v>
      </c>
      <c r="G5" s="44" t="s">
        <v>77</v>
      </c>
    </row>
    <row r="6" customFormat="false" ht="37.5" hidden="false" customHeight="true" outlineLevel="0" collapsed="false">
      <c r="A6" s="42" t="s">
        <v>73</v>
      </c>
      <c r="B6" s="43" t="s">
        <v>17</v>
      </c>
      <c r="C6" s="43" t="s">
        <v>18</v>
      </c>
      <c r="D6" s="43" t="s">
        <v>78</v>
      </c>
      <c r="E6" s="44" t="s">
        <v>75</v>
      </c>
      <c r="F6" s="45" t="s">
        <v>79</v>
      </c>
      <c r="G6" s="44" t="s">
        <v>80</v>
      </c>
    </row>
    <row r="7" customFormat="false" ht="37.5" hidden="false" customHeight="true" outlineLevel="0" collapsed="false">
      <c r="A7" s="46" t="s">
        <v>81</v>
      </c>
      <c r="B7" s="47" t="s">
        <v>17</v>
      </c>
      <c r="C7" s="47" t="s">
        <v>20</v>
      </c>
      <c r="D7" s="47" t="s">
        <v>82</v>
      </c>
      <c r="E7" s="48" t="s">
        <v>83</v>
      </c>
      <c r="F7" s="49" t="s">
        <v>84</v>
      </c>
      <c r="G7" s="48" t="s">
        <v>85</v>
      </c>
    </row>
    <row r="8" customFormat="false" ht="37.5" hidden="false" customHeight="true" outlineLevel="0" collapsed="false">
      <c r="A8" s="46" t="s">
        <v>81</v>
      </c>
      <c r="B8" s="47" t="s">
        <v>17</v>
      </c>
      <c r="C8" s="47" t="s">
        <v>18</v>
      </c>
      <c r="D8" s="47" t="s">
        <v>86</v>
      </c>
      <c r="E8" s="48" t="s">
        <v>87</v>
      </c>
      <c r="F8" s="49" t="s">
        <v>88</v>
      </c>
      <c r="G8" s="48" t="s">
        <v>89</v>
      </c>
    </row>
    <row r="9" customFormat="false" ht="37.5" hidden="false" customHeight="true" outlineLevel="0" collapsed="false">
      <c r="A9" s="50" t="s">
        <v>90</v>
      </c>
      <c r="B9" s="51" t="s">
        <v>19</v>
      </c>
      <c r="C9" s="51" t="s">
        <v>87</v>
      </c>
      <c r="D9" s="51" t="s">
        <v>87</v>
      </c>
      <c r="E9" s="52" t="s">
        <v>87</v>
      </c>
      <c r="F9" s="53" t="s">
        <v>91</v>
      </c>
      <c r="G9" s="52" t="s">
        <v>92</v>
      </c>
    </row>
    <row r="10" customFormat="false" ht="37.5" hidden="false" customHeight="true" outlineLevel="0" collapsed="false">
      <c r="A10" s="54" t="s">
        <v>93</v>
      </c>
      <c r="B10" s="55" t="s">
        <v>21</v>
      </c>
      <c r="C10" s="55" t="s">
        <v>87</v>
      </c>
      <c r="D10" s="55" t="s">
        <v>94</v>
      </c>
      <c r="E10" s="56" t="s">
        <v>87</v>
      </c>
      <c r="F10" s="57" t="s">
        <v>95</v>
      </c>
      <c r="G10" s="56" t="s">
        <v>96</v>
      </c>
    </row>
    <row r="11" customFormat="false" ht="37.5" hidden="false" customHeight="true" outlineLevel="0" collapsed="false">
      <c r="A11" s="42" t="s">
        <v>73</v>
      </c>
      <c r="B11" s="43" t="s">
        <v>17</v>
      </c>
      <c r="C11" s="43" t="s">
        <v>87</v>
      </c>
      <c r="D11" s="43" t="s">
        <v>97</v>
      </c>
      <c r="E11" s="44" t="s">
        <v>87</v>
      </c>
      <c r="F11" s="45" t="s">
        <v>98</v>
      </c>
      <c r="G11" s="44" t="s">
        <v>99</v>
      </c>
    </row>
    <row r="13" customFormat="false" ht="21.75" hidden="false" customHeight="true" outlineLevel="0" collapsed="false">
      <c r="A13" s="6" t="s">
        <v>100</v>
      </c>
      <c r="B13" s="6"/>
      <c r="C13" s="6"/>
      <c r="D13" s="6"/>
      <c r="E13" s="6"/>
      <c r="F13" s="6"/>
      <c r="G13" s="6"/>
    </row>
    <row r="14" customFormat="false" ht="27.75" hidden="false" customHeight="true" outlineLevel="0" collapsed="false">
      <c r="A14" s="58" t="s">
        <v>101</v>
      </c>
      <c r="B14" s="58"/>
      <c r="C14" s="58"/>
      <c r="D14" s="58"/>
      <c r="E14" s="58"/>
      <c r="F14" s="58"/>
      <c r="G14" s="58"/>
    </row>
    <row r="15" customFormat="false" ht="27.75" hidden="false" customHeight="true" outlineLevel="0" collapsed="false">
      <c r="A15" s="59" t="s">
        <v>102</v>
      </c>
      <c r="B15" s="59"/>
      <c r="C15" s="59"/>
      <c r="D15" s="59"/>
      <c r="E15" s="59"/>
      <c r="F15" s="59"/>
      <c r="G15" s="59"/>
    </row>
    <row r="16" customFormat="false" ht="27.75" hidden="false" customHeight="true" outlineLevel="0" collapsed="false">
      <c r="A16" s="58" t="s">
        <v>103</v>
      </c>
      <c r="B16" s="58"/>
      <c r="C16" s="58"/>
      <c r="D16" s="58"/>
      <c r="E16" s="58"/>
      <c r="F16" s="58"/>
      <c r="G16" s="58"/>
    </row>
    <row r="17" customFormat="false" ht="27.75" hidden="false" customHeight="true" outlineLevel="0" collapsed="false">
      <c r="A17" s="59" t="s">
        <v>104</v>
      </c>
      <c r="B17" s="59"/>
      <c r="C17" s="59"/>
      <c r="D17" s="59"/>
      <c r="E17" s="59"/>
      <c r="F17" s="59"/>
      <c r="G17" s="59"/>
    </row>
  </sheetData>
  <mergeCells count="7">
    <mergeCell ref="A1:G1"/>
    <mergeCell ref="A2:G2"/>
    <mergeCell ref="A13:G13"/>
    <mergeCell ref="A14:G14"/>
    <mergeCell ref="A15:G15"/>
    <mergeCell ref="A16:G16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8"/>
  </cols>
  <sheetData>
    <row r="1" customFormat="false" ht="31.5" hidden="false" customHeight="true" outlineLevel="0" collapsed="false">
      <c r="A1" s="60" t="s">
        <v>105</v>
      </c>
      <c r="B1" s="60"/>
      <c r="C1" s="60"/>
      <c r="D1" s="60"/>
      <c r="E1" s="60"/>
      <c r="F1" s="60"/>
    </row>
    <row r="3" customFormat="false" ht="21.75" hidden="false" customHeight="true" outlineLevel="0" collapsed="false">
      <c r="A3" s="6" t="s">
        <v>106</v>
      </c>
      <c r="B3" s="6"/>
      <c r="C3" s="6"/>
      <c r="D3" s="6"/>
      <c r="E3" s="6"/>
      <c r="F3" s="6"/>
    </row>
    <row r="4" customFormat="false" ht="15" hidden="false" customHeight="false" outlineLevel="0" collapsed="false">
      <c r="A4" s="7" t="s">
        <v>107</v>
      </c>
      <c r="B4" s="7" t="s">
        <v>15</v>
      </c>
      <c r="C4" s="7" t="s">
        <v>25</v>
      </c>
      <c r="D4" s="7" t="s">
        <v>4</v>
      </c>
      <c r="E4" s="7" t="s">
        <v>108</v>
      </c>
      <c r="F4" s="7" t="s">
        <v>27</v>
      </c>
    </row>
    <row r="5" customFormat="false" ht="15" hidden="false" customHeight="false" outlineLevel="0" collapsed="false">
      <c r="A5" s="11" t="s">
        <v>109</v>
      </c>
      <c r="B5" s="12" t="n">
        <v>2408</v>
      </c>
      <c r="C5" s="12" t="n">
        <v>581</v>
      </c>
      <c r="D5" s="13" t="n">
        <v>0.241279069767442</v>
      </c>
      <c r="E5" s="16" t="n">
        <v>67.8576661129568</v>
      </c>
      <c r="F5" s="17" t="n">
        <v>35.968023255814</v>
      </c>
    </row>
    <row r="6" customFormat="false" ht="15" hidden="false" customHeight="false" outlineLevel="0" collapsed="false">
      <c r="A6" s="11" t="s">
        <v>110</v>
      </c>
      <c r="B6" s="12" t="n">
        <v>1645</v>
      </c>
      <c r="C6" s="12" t="n">
        <v>421</v>
      </c>
      <c r="D6" s="13" t="n">
        <v>0.255927051671733</v>
      </c>
      <c r="E6" s="16" t="n">
        <v>67.7007477203648</v>
      </c>
      <c r="F6" s="17" t="n">
        <v>35.2820668693009</v>
      </c>
    </row>
    <row r="7" customFormat="false" ht="15" hidden="false" customHeight="false" outlineLevel="0" collapsed="false">
      <c r="A7" s="11" t="s">
        <v>111</v>
      </c>
      <c r="B7" s="12" t="n">
        <v>1510</v>
      </c>
      <c r="C7" s="12" t="n">
        <v>401</v>
      </c>
      <c r="D7" s="13" t="n">
        <v>0.265562913907285</v>
      </c>
      <c r="E7" s="16" t="n">
        <v>67.8970066225166</v>
      </c>
      <c r="F7" s="17" t="n">
        <v>35.8225165562914</v>
      </c>
    </row>
    <row r="8" customFormat="false" ht="15" hidden="false" customHeight="false" outlineLevel="0" collapsed="false">
      <c r="A8" s="11" t="s">
        <v>112</v>
      </c>
      <c r="B8" s="12" t="n">
        <v>1480</v>
      </c>
      <c r="C8" s="12" t="n">
        <v>370</v>
      </c>
      <c r="D8" s="13" t="n">
        <v>0.25</v>
      </c>
      <c r="E8" s="16" t="n">
        <v>68.3208310810811</v>
      </c>
      <c r="F8" s="17" t="n">
        <v>36.4445945945946</v>
      </c>
    </row>
    <row r="11" customFormat="false" ht="21.75" hidden="false" customHeight="true" outlineLevel="0" collapsed="false">
      <c r="A11" s="6" t="s">
        <v>113</v>
      </c>
      <c r="B11" s="6"/>
      <c r="C11" s="6"/>
      <c r="D11" s="6"/>
      <c r="E11" s="6"/>
      <c r="F11" s="6"/>
    </row>
    <row r="12" customFormat="false" ht="15" hidden="false" customHeight="false" outlineLevel="0" collapsed="false">
      <c r="A12" s="7" t="s">
        <v>114</v>
      </c>
      <c r="B12" s="7" t="s">
        <v>115</v>
      </c>
      <c r="C12" s="7" t="s">
        <v>15</v>
      </c>
      <c r="D12" s="7" t="s">
        <v>4</v>
      </c>
    </row>
    <row r="13" customFormat="false" ht="15" hidden="false" customHeight="false" outlineLevel="0" collapsed="false">
      <c r="A13" s="11" t="s">
        <v>116</v>
      </c>
      <c r="B13" s="11" t="s">
        <v>22</v>
      </c>
      <c r="C13" s="12" t="n">
        <v>1373</v>
      </c>
      <c r="D13" s="13" t="n">
        <v>0.278222869628551</v>
      </c>
    </row>
    <row r="14" customFormat="false" ht="15" hidden="false" customHeight="false" outlineLevel="0" collapsed="false">
      <c r="A14" s="11" t="s">
        <v>22</v>
      </c>
      <c r="B14" s="11" t="s">
        <v>116</v>
      </c>
      <c r="C14" s="12" t="n">
        <v>1361</v>
      </c>
      <c r="D14" s="13" t="n">
        <v>0.273328434974284</v>
      </c>
    </row>
    <row r="15" customFormat="false" ht="15" hidden="false" customHeight="false" outlineLevel="0" collapsed="false">
      <c r="A15" s="11" t="s">
        <v>116</v>
      </c>
      <c r="B15" s="11" t="s">
        <v>116</v>
      </c>
      <c r="C15" s="12" t="n">
        <v>1351</v>
      </c>
      <c r="D15" s="13" t="n">
        <v>0.273131014063657</v>
      </c>
    </row>
    <row r="16" customFormat="false" ht="15" hidden="false" customHeight="false" outlineLevel="0" collapsed="false">
      <c r="A16" s="11" t="s">
        <v>22</v>
      </c>
      <c r="B16" s="11" t="s">
        <v>22</v>
      </c>
      <c r="C16" s="12" t="n">
        <v>1382</v>
      </c>
      <c r="D16" s="13" t="n">
        <v>0.271345875542692</v>
      </c>
    </row>
  </sheetData>
  <mergeCells count="3">
    <mergeCell ref="A1:F1"/>
    <mergeCell ref="A3:F3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2026-02-19T05:10:25Z</dcterms:created>
  <dc:creator>openpyxl</dc:creator>
  <dc:description/>
  <dc:language>en-US</dc:language>
  <cp:lastModifiedBy/>
  <dcterms:modified xsi:type="dcterms:W3CDTF">2026-02-19T05:10:25Z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